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itas Yopal" sheetId="2" state="visible" r:id="rId2"/>
    <sheet xmlns:r="http://schemas.openxmlformats.org/officeDocument/2006/relationships" name="Citas Aguazul" sheetId="3" state="visible" r:id="rId3"/>
    <sheet xmlns:r="http://schemas.openxmlformats.org/officeDocument/2006/relationships" name="Citas Bogotá" sheetId="4" state="visible" r:id="rId4"/>
    <sheet xmlns:r="http://schemas.openxmlformats.org/officeDocument/2006/relationships" name="Configuración" sheetId="5" state="visible" r:id="rId5"/>
    <sheet xmlns:r="http://schemas.openxmlformats.org/officeDocument/2006/relationships" name="Resum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  <color rgb="00FFFFFF"/>
    </font>
    <font>
      <i val="1"/>
      <color rgb="00666666"/>
    </font>
    <font>
      <i val="1"/>
      <color rgb="00B3261E"/>
    </font>
    <font>
      <b val="1"/>
    </font>
  </fonts>
  <fills count="4">
    <fill>
      <patternFill/>
    </fill>
    <fill>
      <patternFill patternType="gray125"/>
    </fill>
    <fill>
      <patternFill patternType="solid">
        <fgColor rgb="000A0A0A"/>
      </patternFill>
    </fill>
    <fill>
      <patternFill patternType="solid">
        <fgColor rgb="00EFECE5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1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0" fontId="0" fillId="0" borderId="1" pivotButton="0" quotePrefix="0" xfId="0"/>
    <xf numFmtId="0" fontId="3" fillId="2" borderId="0" pivotButton="0" quotePrefix="0" xfId="0"/>
    <xf numFmtId="0" fontId="5" fillId="0" borderId="0" applyAlignment="1" pivotButton="0" quotePrefix="0" xfId="0">
      <alignment vertical="top" wrapText="1"/>
    </xf>
    <xf numFmtId="49" fontId="0" fillId="3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dxfs count="5">
    <dxf>
      <font>
        <color rgb="005B4B00"/>
      </font>
      <fill>
        <patternFill patternType="solid">
          <fgColor rgb="00FFF4CC"/>
          <bgColor rgb="00FFF4CC"/>
        </patternFill>
      </fill>
    </dxf>
    <dxf>
      <font>
        <color rgb="0012365F"/>
      </font>
      <fill>
        <patternFill patternType="solid">
          <fgColor rgb="00DCEBFF"/>
          <bgColor rgb="00DCEBFF"/>
        </patternFill>
      </fill>
    </dxf>
    <dxf>
      <font>
        <color rgb="0014532D"/>
      </font>
      <fill>
        <patternFill patternType="solid">
          <fgColor rgb="00D3EFD8"/>
          <bgColor rgb="00D3EFD8"/>
        </patternFill>
      </fill>
    </dxf>
    <dxf>
      <font>
        <color rgb="006B6B6B"/>
      </font>
      <fill>
        <patternFill patternType="solid">
          <fgColor rgb="00E6E6E6"/>
          <bgColor rgb="00E6E6E6"/>
        </patternFill>
      </fill>
    </dxf>
    <dxf>
      <font>
        <color rgb="008A2F27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AGENDA DR. RIVAS · PLANTILLA</t>
        </is>
      </c>
    </row>
    <row r="2">
      <c r="A2" s="2" t="inlineStr"/>
    </row>
    <row r="3">
      <c r="A3" s="2" t="inlineStr">
        <is>
          <t>1. Sube este archivo a Google Drive y ábrelo con Hojas de cálculo de Google (Archivo &gt; Guardar como hoja de cálculo de Google).</t>
        </is>
      </c>
    </row>
    <row r="4">
      <c r="A4" s="2" t="inlineStr">
        <is>
          <t>2. En Archivo &gt; Configuración pon la zona horaria en (GMT-05:00) Bogotá.</t>
        </is>
      </c>
    </row>
    <row r="5">
      <c r="A5" s="2" t="inlineStr">
        <is>
          <t>3. Completa la hoja "Configuración": horarios reales y, si quieres, un correo por sede para recibir el aviso de cada cita.</t>
        </is>
      </c>
    </row>
    <row r="6">
      <c r="A6" s="2" t="inlineStr">
        <is>
          <t>4. Sigue la guía LEEME.md para pegar el script y publicarlo. Al final te da una dirección web que se conecta al sitio.</t>
        </is>
      </c>
    </row>
    <row r="7">
      <c r="A7" s="2" t="inlineStr">
        <is>
          <t>5. Cada cita que se agende queda como una fila nueva en la pestaña de SU sede: "Citas Yopal", "Citas Aguazul" o "Citas Bogotá".</t>
        </is>
      </c>
    </row>
    <row r="8">
      <c r="A8" s="2" t="inlineStr"/>
    </row>
    <row r="9">
      <c r="A9" s="3" t="inlineStr">
        <is>
          <t>QUÉ HACE LA RECEPCIÓN</t>
        </is>
      </c>
    </row>
    <row r="10">
      <c r="A10" s="2" t="inlineStr">
        <is>
          <t>• Cambia la columna "Estado": Pendiente (amarillo) → Confirmada (azul) / Atendida (verde) / No asistió (gris) / Cancelada (rojo). La fila completa cambia de color.</t>
        </is>
      </c>
    </row>
    <row r="11">
      <c r="A11" s="2" t="inlineStr">
        <is>
          <t>• Si pones "Cancelada", la hora vuelve a quedar libre en el sitio.</t>
        </is>
      </c>
    </row>
    <row r="12">
      <c r="A12" s="2" t="inlineStr">
        <is>
          <t>• Puedes escribir en "Notas (uso interno)". No cambies las demás columnas.</t>
        </is>
      </c>
    </row>
    <row r="13">
      <c r="A13" s="2" t="inlineStr"/>
    </row>
    <row r="14">
      <c r="A14" s="3" t="inlineStr">
        <is>
          <t>QUÉ HACE SOLO EL SISTEMA</t>
        </is>
      </c>
    </row>
    <row r="15">
      <c r="A15" s="2" t="inlineStr">
        <is>
          <t>• Guarda cada cita en la pestaña de su sede, evita horas repetidas y respeta el máximo de citas por día.</t>
        </is>
      </c>
    </row>
    <row r="16">
      <c r="A16" s="2" t="inlineStr">
        <is>
          <t>• Le manda al paciente un correo: "tu cita quedó guardada" (si dejó su correo).</t>
        </is>
      </c>
    </row>
    <row r="17">
      <c r="A17" s="2" t="inlineStr">
        <is>
          <t>• Avisa a la sede por correo (si pusiste un correo en Configuración).</t>
        </is>
      </c>
    </row>
    <row r="18">
      <c r="A18" s="2" t="inlineStr">
        <is>
          <t>• Un día antes, le recuerda la cita al paciente por correo.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16" customWidth="1" min="4" max="4"/>
    <col width="9" customWidth="1" min="5" max="5"/>
    <col width="22" customWidth="1" min="6" max="6"/>
    <col width="28" customWidth="1" min="7" max="7"/>
    <col width="14" customWidth="1" min="8" max="8"/>
    <col width="30" customWidth="1" min="9" max="9"/>
    <col width="14" customWidth="1" min="10" max="10"/>
    <col width="30" customWidth="1" min="11" max="11"/>
  </cols>
  <sheetData>
    <row r="1" ht="32" customHeight="1">
      <c r="A1" s="4" t="inlineStr">
        <is>
          <t>ID</t>
        </is>
      </c>
      <c r="B1" s="4" t="inlineStr">
        <is>
          <t>Registrada</t>
        </is>
      </c>
      <c r="C1" s="4" t="inlineStr">
        <is>
          <t>Sede</t>
        </is>
      </c>
      <c r="D1" s="4" t="inlineStr">
        <is>
          <t>Fecha de la cita</t>
        </is>
      </c>
      <c r="E1" s="4" t="inlineStr">
        <is>
          <t>Hora</t>
        </is>
      </c>
      <c r="F1" s="4" t="inlineStr">
        <is>
          <t>Tipo de cita</t>
        </is>
      </c>
      <c r="G1" s="4" t="inlineStr">
        <is>
          <t>Nombre</t>
        </is>
      </c>
      <c r="H1" s="4" t="inlineStr">
        <is>
          <t>Celular</t>
        </is>
      </c>
      <c r="I1" s="4" t="inlineStr">
        <is>
          <t>Correo</t>
        </is>
      </c>
      <c r="J1" s="4" t="inlineStr">
        <is>
          <t>Estado</t>
        </is>
      </c>
      <c r="K1" s="4" t="inlineStr">
        <is>
          <t>Notas (uso interno)</t>
        </is>
      </c>
    </row>
  </sheetData>
  <conditionalFormatting sqref="A2:K1000">
    <cfRule type="expression" priority="1" dxfId="0">
      <formula>$J2="Pendiente"</formula>
    </cfRule>
    <cfRule type="expression" priority="2" dxfId="1">
      <formula>$J2="Confirmada"</formula>
    </cfRule>
    <cfRule type="expression" priority="3" dxfId="2">
      <formula>$J2="Atendida"</formula>
    </cfRule>
    <cfRule type="expression" priority="4" dxfId="3">
      <formula>$J2="No asistió"</formula>
    </cfRule>
    <cfRule type="expression" priority="5" dxfId="4">
      <formula>$J2="Cancelada"</formula>
    </cfRule>
  </conditionalFormatting>
  <dataValidations count="1">
    <dataValidation sqref="J2:J1000" showDropDown="0" showInputMessage="0" showErrorMessage="0" allowBlank="1" type="list">
      <formula1>"Pendiente,Confirmada,Atendida,No asistió,Cancelada"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16" customWidth="1" min="4" max="4"/>
    <col width="9" customWidth="1" min="5" max="5"/>
    <col width="22" customWidth="1" min="6" max="6"/>
    <col width="28" customWidth="1" min="7" max="7"/>
    <col width="14" customWidth="1" min="8" max="8"/>
    <col width="30" customWidth="1" min="9" max="9"/>
    <col width="14" customWidth="1" min="10" max="10"/>
    <col width="30" customWidth="1" min="11" max="11"/>
  </cols>
  <sheetData>
    <row r="1" ht="32" customHeight="1">
      <c r="A1" s="4" t="inlineStr">
        <is>
          <t>ID</t>
        </is>
      </c>
      <c r="B1" s="4" t="inlineStr">
        <is>
          <t>Registrada</t>
        </is>
      </c>
      <c r="C1" s="4" t="inlineStr">
        <is>
          <t>Sede</t>
        </is>
      </c>
      <c r="D1" s="4" t="inlineStr">
        <is>
          <t>Fecha de la cita</t>
        </is>
      </c>
      <c r="E1" s="4" t="inlineStr">
        <is>
          <t>Hora</t>
        </is>
      </c>
      <c r="F1" s="4" t="inlineStr">
        <is>
          <t>Tipo de cita</t>
        </is>
      </c>
      <c r="G1" s="4" t="inlineStr">
        <is>
          <t>Nombre</t>
        </is>
      </c>
      <c r="H1" s="4" t="inlineStr">
        <is>
          <t>Celular</t>
        </is>
      </c>
      <c r="I1" s="4" t="inlineStr">
        <is>
          <t>Correo</t>
        </is>
      </c>
      <c r="J1" s="4" t="inlineStr">
        <is>
          <t>Estado</t>
        </is>
      </c>
      <c r="K1" s="4" t="inlineStr">
        <is>
          <t>Notas (uso interno)</t>
        </is>
      </c>
    </row>
  </sheetData>
  <conditionalFormatting sqref="A2:K1000">
    <cfRule type="expression" priority="1" dxfId="0">
      <formula>$J2="Pendiente"</formula>
    </cfRule>
    <cfRule type="expression" priority="2" dxfId="1">
      <formula>$J2="Confirmada"</formula>
    </cfRule>
    <cfRule type="expression" priority="3" dxfId="2">
      <formula>$J2="Atendida"</formula>
    </cfRule>
    <cfRule type="expression" priority="4" dxfId="3">
      <formula>$J2="No asistió"</formula>
    </cfRule>
    <cfRule type="expression" priority="5" dxfId="4">
      <formula>$J2="Cancelada"</formula>
    </cfRule>
  </conditionalFormatting>
  <dataValidations count="1">
    <dataValidation sqref="J2:J1000" showDropDown="0" showInputMessage="0" showErrorMessage="0" allowBlank="1" type="list">
      <formula1>"Pendiente,Confirmada,Atendida,No asistió,Cancelada"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16" customWidth="1" min="4" max="4"/>
    <col width="9" customWidth="1" min="5" max="5"/>
    <col width="22" customWidth="1" min="6" max="6"/>
    <col width="28" customWidth="1" min="7" max="7"/>
    <col width="14" customWidth="1" min="8" max="8"/>
    <col width="30" customWidth="1" min="9" max="9"/>
    <col width="14" customWidth="1" min="10" max="10"/>
    <col width="30" customWidth="1" min="11" max="11"/>
  </cols>
  <sheetData>
    <row r="1" ht="32" customHeight="1">
      <c r="A1" s="4" t="inlineStr">
        <is>
          <t>ID</t>
        </is>
      </c>
      <c r="B1" s="4" t="inlineStr">
        <is>
          <t>Registrada</t>
        </is>
      </c>
      <c r="C1" s="4" t="inlineStr">
        <is>
          <t>Sede</t>
        </is>
      </c>
      <c r="D1" s="4" t="inlineStr">
        <is>
          <t>Fecha de la cita</t>
        </is>
      </c>
      <c r="E1" s="4" t="inlineStr">
        <is>
          <t>Hora</t>
        </is>
      </c>
      <c r="F1" s="4" t="inlineStr">
        <is>
          <t>Tipo de cita</t>
        </is>
      </c>
      <c r="G1" s="4" t="inlineStr">
        <is>
          <t>Nombre</t>
        </is>
      </c>
      <c r="H1" s="4" t="inlineStr">
        <is>
          <t>Celular</t>
        </is>
      </c>
      <c r="I1" s="4" t="inlineStr">
        <is>
          <t>Correo</t>
        </is>
      </c>
      <c r="J1" s="4" t="inlineStr">
        <is>
          <t>Estado</t>
        </is>
      </c>
      <c r="K1" s="4" t="inlineStr">
        <is>
          <t>Notas (uso interno)</t>
        </is>
      </c>
    </row>
  </sheetData>
  <conditionalFormatting sqref="A2:K1000">
    <cfRule type="expression" priority="1" dxfId="0">
      <formula>$J2="Pendiente"</formula>
    </cfRule>
    <cfRule type="expression" priority="2" dxfId="1">
      <formula>$J2="Confirmada"</formula>
    </cfRule>
    <cfRule type="expression" priority="3" dxfId="2">
      <formula>$J2="Atendida"</formula>
    </cfRule>
    <cfRule type="expression" priority="4" dxfId="3">
      <formula>$J2="No asistió"</formula>
    </cfRule>
    <cfRule type="expression" priority="5" dxfId="4">
      <formula>$J2="Cancelada"</formula>
    </cfRule>
  </conditionalFormatting>
  <dataValidations count="1">
    <dataValidation sqref="J2:J1000" showDropDown="0" showInputMessage="0" showErrorMessage="0" allowBlank="1" type="list">
      <formula1>"Pendiente,Confirmada,Atendida,No asistió,Cancelada"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40" customWidth="1" min="3" max="3"/>
    <col width="18" customWidth="1" min="4" max="4"/>
    <col width="52" customWidth="1" min="5" max="5"/>
  </cols>
  <sheetData>
    <row r="1">
      <c r="A1" s="5" t="inlineStr">
        <is>
          <t>CONFIGURACIÓN DE LA AGENDA  (edita solo las celdas con fondo gris)</t>
        </is>
      </c>
    </row>
    <row r="2">
      <c r="A2" s="6" t="inlineStr">
        <is>
          <t>Los cambios se reflejan en el sitio en pocos minutos. No cambies el orden de filas ni columnas.</t>
        </is>
      </c>
    </row>
    <row r="3">
      <c r="A3" s="5" t="inlineStr">
        <is>
          <t>Parámetros</t>
        </is>
      </c>
    </row>
    <row r="4">
      <c r="A4" t="inlineStr">
        <is>
          <t>Días de anticipación máximos para agendar</t>
        </is>
      </c>
      <c r="B4" s="7" t="n">
        <v>30</v>
      </c>
    </row>
    <row r="5">
      <c r="A5" t="inlineStr">
        <is>
          <t>Horas mínimas de anticipación</t>
        </is>
      </c>
      <c r="B5" s="7" t="n">
        <v>2</v>
      </c>
    </row>
    <row r="6">
      <c r="A6" t="inlineStr">
        <is>
          <t>Máximo de citas por día en cada sede</t>
        </is>
      </c>
      <c r="B6" s="7" t="n">
        <v>20</v>
      </c>
    </row>
    <row r="7">
      <c r="A7" t="inlineStr">
        <is>
          <t>Duración de cada cita (minutos)</t>
        </is>
      </c>
      <c r="B7" s="7" t="n">
        <v>30</v>
      </c>
    </row>
    <row r="8">
      <c r="A8" t="inlineStr">
        <is>
          <t>Nombre que ven los pacientes en los correos</t>
        </is>
      </c>
      <c r="B8" s="7" t="inlineStr">
        <is>
          <t>Clínica Dr. Rivas</t>
        </is>
      </c>
    </row>
    <row r="9">
      <c r="A9" t="inlineStr">
        <is>
          <t>Correo interno que recibe copia de todas las citas (opcional)</t>
        </is>
      </c>
      <c r="B9" s="7" t="inlineStr"/>
    </row>
    <row r="11">
      <c r="A11" s="5" t="inlineStr">
        <is>
          <t>Sedes</t>
        </is>
      </c>
    </row>
    <row r="12" ht="46" customHeight="1">
      <c r="A12" s="4" t="inlineStr">
        <is>
          <t>Clave (no cambiar)</t>
        </is>
      </c>
      <c r="B12" s="4" t="inlineStr">
        <is>
          <t>Nombre</t>
        </is>
      </c>
      <c r="C12" s="4" t="inlineStr">
        <is>
          <t>Correo(s) de la sede para el aviso de cada cita (opcional; separa varios con coma)</t>
        </is>
      </c>
      <c r="D12" s="4" t="inlineStr">
        <is>
          <t>WhatsApp</t>
        </is>
      </c>
      <c r="E12" s="4" t="inlineStr">
        <is>
          <t>Dirección</t>
        </is>
      </c>
    </row>
    <row r="13">
      <c r="A13" s="8" t="inlineStr">
        <is>
          <t>yopal</t>
        </is>
      </c>
      <c r="B13" s="8" t="inlineStr">
        <is>
          <t>Yopal</t>
        </is>
      </c>
      <c r="C13" s="7" t="inlineStr"/>
      <c r="D13" s="8" t="inlineStr">
        <is>
          <t>573134693232</t>
        </is>
      </c>
      <c r="E13" s="8" t="inlineStr">
        <is>
          <t>Carrera 24 con Calle 12, esquina diagonal al Edificio Luma</t>
        </is>
      </c>
    </row>
    <row r="14">
      <c r="A14" s="8" t="inlineStr">
        <is>
          <t>aguazul</t>
        </is>
      </c>
      <c r="B14" s="8" t="inlineStr">
        <is>
          <t>Aguazul</t>
        </is>
      </c>
      <c r="C14" s="7" t="inlineStr"/>
      <c r="D14" s="8" t="inlineStr">
        <is>
          <t>573207451448</t>
        </is>
      </c>
      <c r="E14" s="8" t="inlineStr">
        <is>
          <t>Carrera 18A #10-24</t>
        </is>
      </c>
    </row>
    <row r="15">
      <c r="A15" s="8" t="inlineStr">
        <is>
          <t>bogota</t>
        </is>
      </c>
      <c r="B15" s="8" t="inlineStr">
        <is>
          <t>Bogotá</t>
        </is>
      </c>
      <c r="C15" s="7" t="inlineStr"/>
      <c r="D15" s="8" t="inlineStr">
        <is>
          <t>573207671072</t>
        </is>
      </c>
      <c r="E15" s="8" t="inlineStr">
        <is>
          <t>Autopista Norte con Calle 106</t>
        </is>
      </c>
    </row>
    <row r="18">
      <c r="A18" s="5" t="inlineStr">
        <is>
          <t>Horarios de atención por sede (formato 24 h, ej. 08:00 y 18:00; vacío = cerrado)</t>
        </is>
      </c>
    </row>
    <row r="19">
      <c r="A19" s="9" t="inlineStr">
        <is>
          <t>Sede (no cambiar)</t>
        </is>
      </c>
      <c r="B19" s="9" t="inlineStr">
        <is>
          <t>Día (no cambiar)</t>
        </is>
      </c>
      <c r="C19" s="9" t="inlineStr">
        <is>
          <t>Desde</t>
        </is>
      </c>
      <c r="D19" s="9" t="inlineStr">
        <is>
          <t>Hasta</t>
        </is>
      </c>
      <c r="E19" s="10" t="inlineStr">
        <is>
          <t>Nota: los horarios de ejemplo (L-V 8:00-18:00, sábados 8:00-12:00) son provisionales; confírmalos con cada sede.</t>
        </is>
      </c>
    </row>
    <row r="20">
      <c r="A20" t="inlineStr">
        <is>
          <t>yopal</t>
        </is>
      </c>
      <c r="B20" t="inlineStr">
        <is>
          <t>Lunes</t>
        </is>
      </c>
      <c r="C20" s="11" t="inlineStr">
        <is>
          <t>08:00</t>
        </is>
      </c>
      <c r="D20" s="11" t="inlineStr">
        <is>
          <t>18:00</t>
        </is>
      </c>
    </row>
    <row r="21">
      <c r="A21" t="inlineStr">
        <is>
          <t>yopal</t>
        </is>
      </c>
      <c r="B21" t="inlineStr">
        <is>
          <t>Martes</t>
        </is>
      </c>
      <c r="C21" s="11" t="inlineStr">
        <is>
          <t>08:00</t>
        </is>
      </c>
      <c r="D21" s="11" t="inlineStr">
        <is>
          <t>18:00</t>
        </is>
      </c>
    </row>
    <row r="22">
      <c r="A22" t="inlineStr">
        <is>
          <t>yopal</t>
        </is>
      </c>
      <c r="B22" t="inlineStr">
        <is>
          <t>Miércoles</t>
        </is>
      </c>
      <c r="C22" s="11" t="inlineStr">
        <is>
          <t>08:00</t>
        </is>
      </c>
      <c r="D22" s="11" t="inlineStr">
        <is>
          <t>18:00</t>
        </is>
      </c>
    </row>
    <row r="23">
      <c r="A23" t="inlineStr">
        <is>
          <t>yopal</t>
        </is>
      </c>
      <c r="B23" t="inlineStr">
        <is>
          <t>Jueves</t>
        </is>
      </c>
      <c r="C23" s="11" t="inlineStr">
        <is>
          <t>08:00</t>
        </is>
      </c>
      <c r="D23" s="11" t="inlineStr">
        <is>
          <t>18:00</t>
        </is>
      </c>
    </row>
    <row r="24">
      <c r="A24" t="inlineStr">
        <is>
          <t>yopal</t>
        </is>
      </c>
      <c r="B24" t="inlineStr">
        <is>
          <t>Viernes</t>
        </is>
      </c>
      <c r="C24" s="11" t="inlineStr">
        <is>
          <t>08:00</t>
        </is>
      </c>
      <c r="D24" s="11" t="inlineStr">
        <is>
          <t>18:00</t>
        </is>
      </c>
    </row>
    <row r="25">
      <c r="A25" t="inlineStr">
        <is>
          <t>yopal</t>
        </is>
      </c>
      <c r="B25" t="inlineStr">
        <is>
          <t>Sábado</t>
        </is>
      </c>
      <c r="C25" s="11" t="inlineStr">
        <is>
          <t>08:00</t>
        </is>
      </c>
      <c r="D25" s="11" t="inlineStr">
        <is>
          <t>12:00</t>
        </is>
      </c>
    </row>
    <row r="26">
      <c r="A26" t="inlineStr">
        <is>
          <t>yopal</t>
        </is>
      </c>
      <c r="B26" t="inlineStr">
        <is>
          <t>Domingo</t>
        </is>
      </c>
      <c r="C26" s="11" t="inlineStr"/>
      <c r="D26" s="11" t="inlineStr"/>
    </row>
    <row r="27">
      <c r="A27" t="inlineStr">
        <is>
          <t>aguazul</t>
        </is>
      </c>
      <c r="B27" t="inlineStr">
        <is>
          <t>Lunes</t>
        </is>
      </c>
      <c r="C27" s="11" t="inlineStr">
        <is>
          <t>08:00</t>
        </is>
      </c>
      <c r="D27" s="11" t="inlineStr">
        <is>
          <t>18:00</t>
        </is>
      </c>
    </row>
    <row r="28">
      <c r="A28" t="inlineStr">
        <is>
          <t>aguazul</t>
        </is>
      </c>
      <c r="B28" t="inlineStr">
        <is>
          <t>Martes</t>
        </is>
      </c>
      <c r="C28" s="11" t="inlineStr">
        <is>
          <t>08:00</t>
        </is>
      </c>
      <c r="D28" s="11" t="inlineStr">
        <is>
          <t>18:00</t>
        </is>
      </c>
    </row>
    <row r="29">
      <c r="A29" t="inlineStr">
        <is>
          <t>aguazul</t>
        </is>
      </c>
      <c r="B29" t="inlineStr">
        <is>
          <t>Miércoles</t>
        </is>
      </c>
      <c r="C29" s="11" t="inlineStr">
        <is>
          <t>08:00</t>
        </is>
      </c>
      <c r="D29" s="11" t="inlineStr">
        <is>
          <t>18:00</t>
        </is>
      </c>
    </row>
    <row r="30">
      <c r="A30" t="inlineStr">
        <is>
          <t>aguazul</t>
        </is>
      </c>
      <c r="B30" t="inlineStr">
        <is>
          <t>Jueves</t>
        </is>
      </c>
      <c r="C30" s="11" t="inlineStr">
        <is>
          <t>08:00</t>
        </is>
      </c>
      <c r="D30" s="11" t="inlineStr">
        <is>
          <t>18:00</t>
        </is>
      </c>
    </row>
    <row r="31">
      <c r="A31" t="inlineStr">
        <is>
          <t>aguazul</t>
        </is>
      </c>
      <c r="B31" t="inlineStr">
        <is>
          <t>Viernes</t>
        </is>
      </c>
      <c r="C31" s="11" t="inlineStr">
        <is>
          <t>08:00</t>
        </is>
      </c>
      <c r="D31" s="11" t="inlineStr">
        <is>
          <t>18:00</t>
        </is>
      </c>
    </row>
    <row r="32">
      <c r="A32" t="inlineStr">
        <is>
          <t>aguazul</t>
        </is>
      </c>
      <c r="B32" t="inlineStr">
        <is>
          <t>Sábado</t>
        </is>
      </c>
      <c r="C32" s="11" t="inlineStr">
        <is>
          <t>08:00</t>
        </is>
      </c>
      <c r="D32" s="11" t="inlineStr">
        <is>
          <t>12:00</t>
        </is>
      </c>
    </row>
    <row r="33">
      <c r="A33" t="inlineStr">
        <is>
          <t>aguazul</t>
        </is>
      </c>
      <c r="B33" t="inlineStr">
        <is>
          <t>Domingo</t>
        </is>
      </c>
      <c r="C33" s="11" t="inlineStr"/>
      <c r="D33" s="11" t="inlineStr"/>
    </row>
    <row r="34">
      <c r="A34" t="inlineStr">
        <is>
          <t>bogota</t>
        </is>
      </c>
      <c r="B34" t="inlineStr">
        <is>
          <t>Lunes</t>
        </is>
      </c>
      <c r="C34" s="11" t="inlineStr">
        <is>
          <t>08:00</t>
        </is>
      </c>
      <c r="D34" s="11" t="inlineStr">
        <is>
          <t>18:00</t>
        </is>
      </c>
    </row>
    <row r="35">
      <c r="A35" t="inlineStr">
        <is>
          <t>bogota</t>
        </is>
      </c>
      <c r="B35" t="inlineStr">
        <is>
          <t>Martes</t>
        </is>
      </c>
      <c r="C35" s="11" t="inlineStr">
        <is>
          <t>08:00</t>
        </is>
      </c>
      <c r="D35" s="11" t="inlineStr">
        <is>
          <t>18:00</t>
        </is>
      </c>
    </row>
    <row r="36">
      <c r="A36" t="inlineStr">
        <is>
          <t>bogota</t>
        </is>
      </c>
      <c r="B36" t="inlineStr">
        <is>
          <t>Miércoles</t>
        </is>
      </c>
      <c r="C36" s="11" t="inlineStr">
        <is>
          <t>08:00</t>
        </is>
      </c>
      <c r="D36" s="11" t="inlineStr">
        <is>
          <t>18:00</t>
        </is>
      </c>
    </row>
    <row r="37">
      <c r="A37" t="inlineStr">
        <is>
          <t>bogota</t>
        </is>
      </c>
      <c r="B37" t="inlineStr">
        <is>
          <t>Jueves</t>
        </is>
      </c>
      <c r="C37" s="11" t="inlineStr">
        <is>
          <t>08:00</t>
        </is>
      </c>
      <c r="D37" s="11" t="inlineStr">
        <is>
          <t>18:00</t>
        </is>
      </c>
    </row>
    <row r="38">
      <c r="A38" t="inlineStr">
        <is>
          <t>bogota</t>
        </is>
      </c>
      <c r="B38" t="inlineStr">
        <is>
          <t>Viernes</t>
        </is>
      </c>
      <c r="C38" s="11" t="inlineStr">
        <is>
          <t>08:00</t>
        </is>
      </c>
      <c r="D38" s="11" t="inlineStr">
        <is>
          <t>18:00</t>
        </is>
      </c>
    </row>
    <row r="39">
      <c r="A39" t="inlineStr">
        <is>
          <t>bogota</t>
        </is>
      </c>
      <c r="B39" t="inlineStr">
        <is>
          <t>Sábado</t>
        </is>
      </c>
      <c r="C39" s="11" t="inlineStr">
        <is>
          <t>08:00</t>
        </is>
      </c>
      <c r="D39" s="11" t="inlineStr">
        <is>
          <t>12:00</t>
        </is>
      </c>
    </row>
    <row r="40">
      <c r="A40" t="inlineStr">
        <is>
          <t>bogota</t>
        </is>
      </c>
      <c r="B40" t="inlineStr">
        <is>
          <t>Domingo</t>
        </is>
      </c>
      <c r="C40" s="11" t="inlineStr"/>
      <c r="D40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5" t="inlineStr">
        <is>
          <t>RESUMEN DE CITAS</t>
        </is>
      </c>
    </row>
    <row r="3">
      <c r="A3" s="9" t="inlineStr">
        <is>
          <t>Sede</t>
        </is>
      </c>
      <c r="B3" s="9" t="inlineStr">
        <is>
          <t>Pendiente</t>
        </is>
      </c>
      <c r="C3" s="9" t="inlineStr">
        <is>
          <t>Confirmada</t>
        </is>
      </c>
      <c r="D3" s="9" t="inlineStr">
        <is>
          <t>Atendida</t>
        </is>
      </c>
      <c r="E3" s="9" t="inlineStr">
        <is>
          <t>No asistió</t>
        </is>
      </c>
      <c r="F3" s="9" t="inlineStr">
        <is>
          <t>Cancelada</t>
        </is>
      </c>
    </row>
    <row r="4">
      <c r="A4" t="inlineStr">
        <is>
          <t>Yopal</t>
        </is>
      </c>
      <c r="B4">
        <f>COUNTIF('Citas Yopal'!$J$2:$J$1000,B$3)</f>
        <v/>
      </c>
      <c r="C4">
        <f>COUNTIF('Citas Yopal'!$J$2:$J$1000,C$3)</f>
        <v/>
      </c>
      <c r="D4">
        <f>COUNTIF('Citas Yopal'!$J$2:$J$1000,D$3)</f>
        <v/>
      </c>
      <c r="E4">
        <f>COUNTIF('Citas Yopal'!$J$2:$J$1000,E$3)</f>
        <v/>
      </c>
      <c r="F4">
        <f>COUNTIF('Citas Yopal'!$J$2:$J$1000,F$3)</f>
        <v/>
      </c>
    </row>
    <row r="5">
      <c r="A5" t="inlineStr">
        <is>
          <t>Aguazul</t>
        </is>
      </c>
      <c r="B5">
        <f>COUNTIF('Citas Aguazul'!$J$2:$J$1000,B$3)</f>
        <v/>
      </c>
      <c r="C5">
        <f>COUNTIF('Citas Aguazul'!$J$2:$J$1000,C$3)</f>
        <v/>
      </c>
      <c r="D5">
        <f>COUNTIF('Citas Aguazul'!$J$2:$J$1000,D$3)</f>
        <v/>
      </c>
      <c r="E5">
        <f>COUNTIF('Citas Aguazul'!$J$2:$J$1000,E$3)</f>
        <v/>
      </c>
      <c r="F5">
        <f>COUNTIF('Citas Aguazul'!$J$2:$J$1000,F$3)</f>
        <v/>
      </c>
    </row>
    <row r="6">
      <c r="A6" t="inlineStr">
        <is>
          <t>Bogotá</t>
        </is>
      </c>
      <c r="B6">
        <f>COUNTIF('Citas Bogotá'!$J$2:$J$1000,B$3)</f>
        <v/>
      </c>
      <c r="C6">
        <f>COUNTIF('Citas Bogotá'!$J$2:$J$1000,C$3)</f>
        <v/>
      </c>
      <c r="D6">
        <f>COUNTIF('Citas Bogotá'!$J$2:$J$1000,D$3)</f>
        <v/>
      </c>
      <c r="E6">
        <f>COUNTIF('Citas Bogotá'!$J$2:$J$1000,E$3)</f>
        <v/>
      </c>
      <c r="F6">
        <f>COUNTIF('Citas Bogotá'!$J$2:$J$1000,F$3)</f>
        <v/>
      </c>
    </row>
    <row r="8">
      <c r="A8" s="12" t="inlineStr">
        <is>
          <t>Citas de hoy</t>
        </is>
      </c>
      <c r="B8">
        <f>COUNTIFS('Citas Yopal'!$D$2:$D$1000,TODAY(),'Citas Yopal'!$J$2:$J$1000,"&lt;&gt;Cancelada")+COUNTIFS('Citas Aguazul'!$D$2:$D$1000,TODAY(),'Citas Aguazul'!$J$2:$J$1000,"&lt;&gt;Cancelada")+COUNTIFS('Citas Bogotá'!$D$2:$D$1000,TODAY(),'Citas Bogotá'!$J$2:$J$1000,"&lt;&gt;Cancelada")</f>
        <v/>
      </c>
    </row>
    <row r="9">
      <c r="A9" s="12" t="inlineStr">
        <is>
          <t>Citas de mañana</t>
        </is>
      </c>
      <c r="B9">
        <f>COUNTIFS('Citas Yopal'!$D$2:$D$1000,TODAY()+1,'Citas Yopal'!$J$2:$J$1000,"&lt;&gt;Cancelada")+COUNTIFS('Citas Aguazul'!$D$2:$D$1000,TODAY()+1,'Citas Aguazul'!$J$2:$J$1000,"&lt;&gt;Cancelada")+COUNTIFS('Citas Bogotá'!$D$2:$D$1000,TODAY()+1,'Citas Bogotá'!$J$2:$J$1000,"&lt;&gt;Cancelada")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2026-10-20T15:55:06Z</dcterms:created>
  <dcterms:modified xmlns:dcterms="http://purl.org/dc/terms/" xmlns:xsi="http://www.w3.org/2001/XMLSchema-instance" xsi:type="dcterms:W3CDTF">2026-10-20T15:55:06Z</dcterms:modified>
</cp:coreProperties>
</file>